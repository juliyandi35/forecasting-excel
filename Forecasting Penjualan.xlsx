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Forecasting Excel DL Minggu siang\"/>
    </mc:Choice>
  </mc:AlternateContent>
  <xr:revisionPtr revIDLastSave="0" documentId="13_ncr:1_{FE73B42B-172F-4BA1-AB85-4234E8CDBC15}" xr6:coauthVersionLast="47" xr6:coauthVersionMax="47" xr10:uidLastSave="{00000000-0000-0000-0000-000000000000}"/>
  <bookViews>
    <workbookView xWindow="-110" yWindow="-110" windowWidth="19420" windowHeight="10300" activeTab="3" xr2:uid="{B7AE88B0-C8EE-41D0-B642-CE9E10543DEF}"/>
  </bookViews>
  <sheets>
    <sheet name="Dataset" sheetId="1" r:id="rId1"/>
    <sheet name="Forecast Table" sheetId="4" r:id="rId2"/>
    <sheet name="Forecast Graph" sheetId="5" r:id="rId3"/>
    <sheet name="Statistik Deskriptif" sheetId="6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5" i="4" l="1"/>
  <c r="C53" i="4"/>
  <c r="C61" i="4"/>
  <c r="C46" i="4"/>
  <c r="C54" i="4"/>
  <c r="C47" i="4"/>
  <c r="C55" i="4"/>
  <c r="C48" i="4"/>
  <c r="C56" i="4"/>
  <c r="C50" i="4"/>
  <c r="C51" i="4"/>
  <c r="C52" i="4"/>
  <c r="C49" i="4"/>
  <c r="C57" i="4"/>
  <c r="C42" i="4"/>
  <c r="C58" i="4"/>
  <c r="C43" i="4"/>
  <c r="C59" i="4"/>
  <c r="C44" i="4"/>
  <c r="C60" i="4"/>
  <c r="D44" i="4" l="1"/>
  <c r="D42" i="4"/>
  <c r="D51" i="4"/>
  <c r="D55" i="4"/>
  <c r="E61" i="4"/>
  <c r="E44" i="4"/>
  <c r="E42" i="4"/>
  <c r="E51" i="4"/>
  <c r="E55" i="4"/>
  <c r="D61" i="4"/>
  <c r="E58" i="4"/>
  <c r="D59" i="4"/>
  <c r="D57" i="4"/>
  <c r="D50" i="4"/>
  <c r="E47" i="4"/>
  <c r="E53" i="4"/>
  <c r="E59" i="4"/>
  <c r="E57" i="4"/>
  <c r="E50" i="4"/>
  <c r="D47" i="4"/>
  <c r="D53" i="4"/>
  <c r="E52" i="4"/>
  <c r="D46" i="4"/>
  <c r="D43" i="4"/>
  <c r="D49" i="4"/>
  <c r="E56" i="4"/>
  <c r="E54" i="4"/>
  <c r="E45" i="4"/>
  <c r="D48" i="4"/>
  <c r="E43" i="4"/>
  <c r="E49" i="4"/>
  <c r="D56" i="4"/>
  <c r="D54" i="4"/>
  <c r="D45" i="4"/>
  <c r="D60" i="4"/>
  <c r="D58" i="4"/>
  <c r="D52" i="4"/>
  <c r="E48" i="4"/>
  <c r="E46" i="4"/>
  <c r="E60" i="4"/>
</calcChain>
</file>

<file path=xl/sharedStrings.xml><?xml version="1.0" encoding="utf-8"?>
<sst xmlns="http://schemas.openxmlformats.org/spreadsheetml/2006/main" count="80" uniqueCount="27">
  <si>
    <t>Bulan ke</t>
  </si>
  <si>
    <t xml:space="preserve">Jumlah Produksi per Bulan </t>
  </si>
  <si>
    <t>Jumlah Penjualan Per Bulan</t>
  </si>
  <si>
    <t>Selisih Produksi - Penjualan</t>
  </si>
  <si>
    <t>Kumulatif</t>
  </si>
  <si>
    <t>Timeline</t>
  </si>
  <si>
    <t>Values</t>
  </si>
  <si>
    <t>Forecast</t>
  </si>
  <si>
    <t>Lower Confidence Bound</t>
  </si>
  <si>
    <t>Upper Confidence Bound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</si>
  <si>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</si>
  <si>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</si>
  <si>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</si>
  <si>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</si>
  <si>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</si>
  <si>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</si>
  <si>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</si>
  <si>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</si>
  <si>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</si>
  <si>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</si>
  <si>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</si>
  <si>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</si>
  <si>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</si>
  <si>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Bulan Ke</t>
  </si>
  <si>
    <t>Jumlah Produksi</t>
  </si>
  <si>
    <t>Jumlah Penjualan</t>
  </si>
  <si>
    <t>Selisih Produksi Penjualan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</si>
</sst>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" fontId="0" fillId="0" borderId="0" xfId="0" applyNumberFormat="1"/>
    <xf numFmtId="0" fontId="0" fillId="0" borderId="5" xfId="0" applyBorder="1"/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Forecasting Penjualan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 Table'!$B$1</c:f>
              <c:strCache>
                <c:ptCount val="1"/>
                <c:pt idx="0">
                  <c:v>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 Table'!$B$2:$B$61</c:f>
              <c:numCache>
                <c:formatCode>General</c:formatCode>
                <c:ptCount val="60"/>
                <c:pt idx="0">
                  <c:v>385</c:v>
                </c:pt>
                <c:pt idx="1">
                  <c:v>435</c:v>
                </c:pt>
                <c:pt idx="2">
                  <c:v>500</c:v>
                </c:pt>
                <c:pt idx="3">
                  <c:v>450</c:v>
                </c:pt>
                <c:pt idx="4">
                  <c:v>450</c:v>
                </c:pt>
                <c:pt idx="5">
                  <c:v>500</c:v>
                </c:pt>
                <c:pt idx="6">
                  <c:v>450</c:v>
                </c:pt>
                <c:pt idx="7">
                  <c:v>400</c:v>
                </c:pt>
                <c:pt idx="8">
                  <c:v>400</c:v>
                </c:pt>
                <c:pt idx="9">
                  <c:v>376</c:v>
                </c:pt>
                <c:pt idx="10">
                  <c:v>405</c:v>
                </c:pt>
                <c:pt idx="11">
                  <c:v>400</c:v>
                </c:pt>
                <c:pt idx="12">
                  <c:v>400</c:v>
                </c:pt>
                <c:pt idx="13">
                  <c:v>325</c:v>
                </c:pt>
                <c:pt idx="14">
                  <c:v>385</c:v>
                </c:pt>
                <c:pt idx="15">
                  <c:v>435</c:v>
                </c:pt>
                <c:pt idx="16">
                  <c:v>500</c:v>
                </c:pt>
                <c:pt idx="17">
                  <c:v>450</c:v>
                </c:pt>
                <c:pt idx="18">
                  <c:v>450</c:v>
                </c:pt>
                <c:pt idx="19">
                  <c:v>500</c:v>
                </c:pt>
                <c:pt idx="20">
                  <c:v>450</c:v>
                </c:pt>
                <c:pt idx="21">
                  <c:v>400</c:v>
                </c:pt>
                <c:pt idx="22">
                  <c:v>400</c:v>
                </c:pt>
                <c:pt idx="23">
                  <c:v>376</c:v>
                </c:pt>
                <c:pt idx="24">
                  <c:v>405</c:v>
                </c:pt>
                <c:pt idx="25">
                  <c:v>400</c:v>
                </c:pt>
                <c:pt idx="26">
                  <c:v>400</c:v>
                </c:pt>
                <c:pt idx="27">
                  <c:v>325</c:v>
                </c:pt>
                <c:pt idx="28">
                  <c:v>600</c:v>
                </c:pt>
                <c:pt idx="29">
                  <c:v>700</c:v>
                </c:pt>
                <c:pt idx="30">
                  <c:v>689</c:v>
                </c:pt>
                <c:pt idx="31">
                  <c:v>650</c:v>
                </c:pt>
                <c:pt idx="32">
                  <c:v>400</c:v>
                </c:pt>
                <c:pt idx="33">
                  <c:v>400</c:v>
                </c:pt>
                <c:pt idx="34">
                  <c:v>450</c:v>
                </c:pt>
                <c:pt idx="35">
                  <c:v>450</c:v>
                </c:pt>
                <c:pt idx="36">
                  <c:v>500</c:v>
                </c:pt>
                <c:pt idx="37">
                  <c:v>502</c:v>
                </c:pt>
                <c:pt idx="38">
                  <c:v>378</c:v>
                </c:pt>
                <c:pt idx="39">
                  <c:v>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10-4CC3-8AB5-E1D7517B3EF8}"/>
            </c:ext>
          </c:extLst>
        </c:ser>
        <c:ser>
          <c:idx val="1"/>
          <c:order val="1"/>
          <c:tx>
            <c:strRef>
              <c:f>'Forecast Table'!$C$1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'Forecast Table'!$C$2:$C$61</c:f>
              <c:numCache>
                <c:formatCode>General</c:formatCode>
                <c:ptCount val="60"/>
                <c:pt idx="39">
                  <c:v>525</c:v>
                </c:pt>
                <c:pt idx="40">
                  <c:v>481.29697993222175</c:v>
                </c:pt>
                <c:pt idx="41">
                  <c:v>531.18069010374234</c:v>
                </c:pt>
                <c:pt idx="42">
                  <c:v>594.90672283855156</c:v>
                </c:pt>
                <c:pt idx="43">
                  <c:v>543.54449275159232</c:v>
                </c:pt>
                <c:pt idx="44">
                  <c:v>588.89452921346458</c:v>
                </c:pt>
                <c:pt idx="45">
                  <c:v>586.98894058946121</c:v>
                </c:pt>
                <c:pt idx="46">
                  <c:v>538.52532881343234</c:v>
                </c:pt>
                <c:pt idx="47">
                  <c:v>510.76298221411594</c:v>
                </c:pt>
                <c:pt idx="48">
                  <c:v>495.25320409005235</c:v>
                </c:pt>
                <c:pt idx="49">
                  <c:v>493.5270572227206</c:v>
                </c:pt>
                <c:pt idx="50">
                  <c:v>501.98282914005404</c:v>
                </c:pt>
                <c:pt idx="51">
                  <c:v>525.36127961870227</c:v>
                </c:pt>
                <c:pt idx="52">
                  <c:v>453.14578760322195</c:v>
                </c:pt>
                <c:pt idx="53">
                  <c:v>513.42693914614017</c:v>
                </c:pt>
                <c:pt idx="54">
                  <c:v>563.31064931766082</c:v>
                </c:pt>
                <c:pt idx="55">
                  <c:v>627.03668205247004</c:v>
                </c:pt>
                <c:pt idx="56">
                  <c:v>575.6744519655108</c:v>
                </c:pt>
                <c:pt idx="57">
                  <c:v>621.02448842738306</c:v>
                </c:pt>
                <c:pt idx="58">
                  <c:v>619.11889980337969</c:v>
                </c:pt>
                <c:pt idx="59">
                  <c:v>570.65528802735082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10-4CC3-8AB5-E1D7517B3EF8}"/>
            </c:ext>
          </c:extLst>
        </c:ser>
        <c:ser>
          <c:idx val="2"/>
          <c:order val="2"/>
          <c:tx>
            <c:strRef>
              <c:f>'Forecast Table'!$D$1</c:f>
              <c:strCache>
                <c:ptCount val="1"/>
                <c:pt idx="0">
                  <c:v>Lower Confidence Bound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'Forecast Table'!$D$2:$D$61</c:f>
              <c:numCache>
                <c:formatCode>General</c:formatCode>
                <c:ptCount val="60"/>
                <c:pt idx="39" formatCode="0.00">
                  <c:v>525</c:v>
                </c:pt>
                <c:pt idx="40" formatCode="0.00">
                  <c:v>337.66561212271012</c:v>
                </c:pt>
                <c:pt idx="41" formatCode="0.00">
                  <c:v>386.39564045413545</c:v>
                </c:pt>
                <c:pt idx="42" formatCode="0.00">
                  <c:v>448.95908829947837</c:v>
                </c:pt>
                <c:pt idx="43" formatCode="0.00">
                  <c:v>396.42544111209173</c:v>
                </c:pt>
                <c:pt idx="44" formatCode="0.00">
                  <c:v>440.59529844929546</c:v>
                </c:pt>
                <c:pt idx="45" formatCode="0.00">
                  <c:v>437.50083819564111</c:v>
                </c:pt>
                <c:pt idx="46" formatCode="0.00">
                  <c:v>387.83973112264914</c:v>
                </c:pt>
                <c:pt idx="47" formatCode="0.00">
                  <c:v>358.87133370257379</c:v>
                </c:pt>
                <c:pt idx="48" formatCode="0.00">
                  <c:v>342.14701667223176</c:v>
                </c:pt>
                <c:pt idx="49" formatCode="0.00">
                  <c:v>339.19790953645554</c:v>
                </c:pt>
                <c:pt idx="50" formatCode="0.00">
                  <c:v>346.42236582325199</c:v>
                </c:pt>
                <c:pt idx="51" formatCode="0.00">
                  <c:v>368.56121057896064</c:v>
                </c:pt>
                <c:pt idx="52" formatCode="0.00">
                  <c:v>295.09788728152341</c:v>
                </c:pt>
                <c:pt idx="53" formatCode="0.00">
                  <c:v>354.1049814486945</c:v>
                </c:pt>
                <c:pt idx="54" formatCode="0.00">
                  <c:v>402.72474204994398</c:v>
                </c:pt>
                <c:pt idx="55" formatCode="0.00">
                  <c:v>465.17878745673545</c:v>
                </c:pt>
                <c:pt idx="56" formatCode="0.00">
                  <c:v>412.53659383812567</c:v>
                </c:pt>
                <c:pt idx="57" formatCode="0.00">
                  <c:v>456.59875136892822</c:v>
                </c:pt>
                <c:pt idx="58" formatCode="0.00">
                  <c:v>453.39742846855415</c:v>
                </c:pt>
                <c:pt idx="59" formatCode="0.00">
                  <c:v>403.63028637544141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10-4CC3-8AB5-E1D7517B3EF8}"/>
            </c:ext>
          </c:extLst>
        </c:ser>
        <c:ser>
          <c:idx val="3"/>
          <c:order val="3"/>
          <c:tx>
            <c:strRef>
              <c:f>'Forecast Table'!$E$1</c:f>
              <c:strCache>
                <c:ptCount val="1"/>
                <c:pt idx="0">
                  <c:v>Upper Confidence Bound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'Forecast Table'!$E$2:$E$61</c:f>
              <c:numCache>
                <c:formatCode>General</c:formatCode>
                <c:ptCount val="60"/>
                <c:pt idx="39" formatCode="0.00">
                  <c:v>525</c:v>
                </c:pt>
                <c:pt idx="40" formatCode="0.00">
                  <c:v>624.92834774173343</c:v>
                </c:pt>
                <c:pt idx="41" formatCode="0.00">
                  <c:v>675.96573975334923</c:v>
                </c:pt>
                <c:pt idx="42" formatCode="0.00">
                  <c:v>740.85435737762475</c:v>
                </c:pt>
                <c:pt idx="43" formatCode="0.00">
                  <c:v>690.66354439109296</c:v>
                </c:pt>
                <c:pt idx="44" formatCode="0.00">
                  <c:v>737.1937599776337</c:v>
                </c:pt>
                <c:pt idx="45" formatCode="0.00">
                  <c:v>736.47704298328131</c:v>
                </c:pt>
                <c:pt idx="46" formatCode="0.00">
                  <c:v>689.21092650421554</c:v>
                </c:pt>
                <c:pt idx="47" formatCode="0.00">
                  <c:v>662.65463072565808</c:v>
                </c:pt>
                <c:pt idx="48" formatCode="0.00">
                  <c:v>648.35939150787294</c:v>
                </c:pt>
                <c:pt idx="49" formatCode="0.00">
                  <c:v>647.85620490898566</c:v>
                </c:pt>
                <c:pt idx="50" formatCode="0.00">
                  <c:v>657.54329245685608</c:v>
                </c:pt>
                <c:pt idx="51" formatCode="0.00">
                  <c:v>682.1613486584439</c:v>
                </c:pt>
                <c:pt idx="52" formatCode="0.00">
                  <c:v>611.19368792492048</c:v>
                </c:pt>
                <c:pt idx="53" formatCode="0.00">
                  <c:v>672.74889684358584</c:v>
                </c:pt>
                <c:pt idx="54" formatCode="0.00">
                  <c:v>723.89655658537765</c:v>
                </c:pt>
                <c:pt idx="55" formatCode="0.00">
                  <c:v>788.89457664820463</c:v>
                </c:pt>
                <c:pt idx="56" formatCode="0.00">
                  <c:v>738.81231009289593</c:v>
                </c:pt>
                <c:pt idx="57" formatCode="0.00">
                  <c:v>785.4502254858379</c:v>
                </c:pt>
                <c:pt idx="58" formatCode="0.00">
                  <c:v>784.84037113820523</c:v>
                </c:pt>
                <c:pt idx="59" formatCode="0.00">
                  <c:v>737.68028967926023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10-4CC3-8AB5-E1D7517B3EF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7444767"/>
        <c:axId val="1760691503"/>
      </c:lineChart>
      <c:catAx>
        <c:axId val="1917444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Bulan Ke-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691503"/>
        <c:crosses val="autoZero"/>
        <c:auto val="1"/>
        <c:lblAlgn val="ctr"/>
        <c:lblOffset val="100"/>
        <c:noMultiLvlLbl val="0"/>
      </c:catAx>
      <c:valAx>
        <c:axId val="176069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Jumlah Penjualan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444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0</xdr:row>
      <xdr:rowOff>19050</xdr:rowOff>
    </xdr:from>
    <xdr:to>
      <xdr:col>14</xdr:col>
      <xdr:colOff>419100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F37C1C-5E3C-4E97-BE62-415EBB5C7D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 Forecas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 Forecast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ADCB2B-3174-4202-816F-F2654C5F0A7C}" name="Table2" displayName="Table2" ref="A1:E61" totalsRowShown="0">
  <autoFilter ref="A1:E61" xr:uid="{62ADCB2B-3174-4202-816F-F2654C5F0A7C}"/>
  <tableColumns count="5">
    <tableColumn id="1" xr3:uid="{18A4E032-6221-460A-A8CA-DE024045316F}" name="Timeline"/>
    <tableColumn id="2" xr3:uid="{2730A5B9-8253-4DA2-8925-CF6381428DD5}" name="Values"/>
    <tableColumn id="3" xr3:uid="{F3CD9798-9C6C-445F-8694-350C733A2106}" name="Forecast">
      <calculatedColumnFormula>_xlfn.FORECAST.ETS(A2,$B$2:$B$41,$A$2:$A$41,1,1)</calculatedColumnFormula>
    </tableColumn>
    <tableColumn id="4" xr3:uid="{15D3B04A-1D4D-4B83-BD66-AD81CEB6E9DA}" name="Lower Confidence Bound" dataDxfId="1">
      <calculatedColumnFormula>C2-_xlfn.FORECAST.ETS.CONFINT(A2,$B$2:$B$41,$A$2:$A$41,0.95,1,1)</calculatedColumnFormula>
    </tableColumn>
    <tableColumn id="5" xr3:uid="{00D189B4-0AA3-476A-AEBF-54A701E1F763}" name="Upper Confidence Bound" dataDxfId="0">
      <calculatedColumnFormula>C2+_xlfn.FORECAST.ETS.CONFINT(A2,$B$2:$B$41,$A$2:$A$41,0.95,1,1)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1EAC8-479F-4882-86EF-99B25593284E}">
  <dimension ref="A1:E41"/>
  <sheetViews>
    <sheetView workbookViewId="0">
      <selection activeCell="C9" sqref="C9"/>
    </sheetView>
  </sheetViews>
  <sheetFormatPr defaultRowHeight="14.5" x14ac:dyDescent="0.35"/>
  <cols>
    <col min="1" max="1" width="8.453125" bestFit="1" customWidth="1"/>
    <col min="2" max="2" width="25.36328125" bestFit="1" customWidth="1"/>
    <col min="3" max="3" width="25.90625" bestFit="1" customWidth="1"/>
    <col min="4" max="4" width="25.36328125" bestFit="1" customWidth="1"/>
    <col min="5" max="5" width="9.6328125" bestFit="1" customWidth="1"/>
  </cols>
  <sheetData>
    <row r="1" spans="1:5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4">
      <c r="A2" s="3">
        <v>1</v>
      </c>
      <c r="B2" s="4">
        <v>450</v>
      </c>
      <c r="C2" s="4">
        <v>385</v>
      </c>
      <c r="D2" s="4">
        <v>65</v>
      </c>
      <c r="E2" s="4">
        <v>65</v>
      </c>
    </row>
    <row r="3" spans="1:5" ht="15" thickBot="1" x14ac:dyDescent="0.4">
      <c r="A3" s="3">
        <v>2</v>
      </c>
      <c r="B3" s="4">
        <v>450</v>
      </c>
      <c r="C3" s="4">
        <v>435</v>
      </c>
      <c r="D3" s="4">
        <v>15</v>
      </c>
      <c r="E3" s="4">
        <v>80</v>
      </c>
    </row>
    <row r="4" spans="1:5" ht="15" thickBot="1" x14ac:dyDescent="0.4">
      <c r="A4" s="3">
        <v>3</v>
      </c>
      <c r="B4" s="4">
        <v>450</v>
      </c>
      <c r="C4" s="4">
        <v>500</v>
      </c>
      <c r="D4" s="4">
        <v>-50</v>
      </c>
      <c r="E4" s="4">
        <v>30</v>
      </c>
    </row>
    <row r="5" spans="1:5" ht="15" thickBot="1" x14ac:dyDescent="0.4">
      <c r="A5" s="3">
        <v>4</v>
      </c>
      <c r="B5" s="4">
        <v>425</v>
      </c>
      <c r="C5" s="4">
        <v>450</v>
      </c>
      <c r="D5" s="4">
        <v>-25</v>
      </c>
      <c r="E5" s="4">
        <v>5</v>
      </c>
    </row>
    <row r="6" spans="1:5" ht="15" thickBot="1" x14ac:dyDescent="0.4">
      <c r="A6" s="3">
        <v>5</v>
      </c>
      <c r="B6" s="4">
        <v>475</v>
      </c>
      <c r="C6" s="4">
        <v>450</v>
      </c>
      <c r="D6" s="4">
        <v>25</v>
      </c>
      <c r="E6" s="4">
        <v>30</v>
      </c>
    </row>
    <row r="7" spans="1:5" ht="15" thickBot="1" x14ac:dyDescent="0.4">
      <c r="A7" s="3">
        <v>6</v>
      </c>
      <c r="B7" s="4">
        <v>500</v>
      </c>
      <c r="C7" s="4">
        <v>500</v>
      </c>
      <c r="D7" s="4">
        <v>0</v>
      </c>
      <c r="E7" s="4">
        <v>30</v>
      </c>
    </row>
    <row r="8" spans="1:5" ht="15" thickBot="1" x14ac:dyDescent="0.4">
      <c r="A8" s="3">
        <v>7</v>
      </c>
      <c r="B8" s="4">
        <v>450</v>
      </c>
      <c r="C8" s="4">
        <v>450</v>
      </c>
      <c r="D8" s="4">
        <v>0</v>
      </c>
      <c r="E8" s="4">
        <v>30</v>
      </c>
    </row>
    <row r="9" spans="1:5" ht="15" thickBot="1" x14ac:dyDescent="0.4">
      <c r="A9" s="3">
        <v>8</v>
      </c>
      <c r="B9" s="4">
        <v>400</v>
      </c>
      <c r="C9" s="4">
        <v>400</v>
      </c>
      <c r="D9" s="4">
        <v>0</v>
      </c>
      <c r="E9" s="4">
        <v>30</v>
      </c>
    </row>
    <row r="10" spans="1:5" ht="15" thickBot="1" x14ac:dyDescent="0.4">
      <c r="A10" s="3">
        <v>9</v>
      </c>
      <c r="B10" s="4">
        <v>450</v>
      </c>
      <c r="C10" s="4">
        <v>400</v>
      </c>
      <c r="D10" s="4">
        <v>50</v>
      </c>
      <c r="E10" s="4">
        <v>80</v>
      </c>
    </row>
    <row r="11" spans="1:5" ht="15" thickBot="1" x14ac:dyDescent="0.4">
      <c r="A11" s="3">
        <v>10</v>
      </c>
      <c r="B11" s="4">
        <v>450</v>
      </c>
      <c r="C11" s="4">
        <v>376</v>
      </c>
      <c r="D11" s="4">
        <v>74</v>
      </c>
      <c r="E11" s="4">
        <v>154</v>
      </c>
    </row>
    <row r="12" spans="1:5" ht="15" thickBot="1" x14ac:dyDescent="0.4">
      <c r="A12" s="3">
        <v>11</v>
      </c>
      <c r="B12" s="4">
        <v>450</v>
      </c>
      <c r="C12" s="4">
        <v>405</v>
      </c>
      <c r="D12" s="4">
        <v>45</v>
      </c>
      <c r="E12" s="4">
        <v>199</v>
      </c>
    </row>
    <row r="13" spans="1:5" ht="15" thickBot="1" x14ac:dyDescent="0.4">
      <c r="A13" s="3">
        <v>12</v>
      </c>
      <c r="B13" s="4">
        <v>450</v>
      </c>
      <c r="C13" s="4">
        <v>400</v>
      </c>
      <c r="D13" s="4">
        <v>50</v>
      </c>
      <c r="E13" s="4">
        <v>249</v>
      </c>
    </row>
    <row r="14" spans="1:5" ht="15" thickBot="1" x14ac:dyDescent="0.4">
      <c r="A14" s="3">
        <v>13</v>
      </c>
      <c r="B14" s="4">
        <v>450</v>
      </c>
      <c r="C14" s="4">
        <v>400</v>
      </c>
      <c r="D14" s="4">
        <v>50</v>
      </c>
      <c r="E14" s="4">
        <v>299</v>
      </c>
    </row>
    <row r="15" spans="1:5" ht="15" thickBot="1" x14ac:dyDescent="0.4">
      <c r="A15" s="3">
        <v>14</v>
      </c>
      <c r="B15" s="4">
        <v>425</v>
      </c>
      <c r="C15" s="4">
        <v>325</v>
      </c>
      <c r="D15" s="4">
        <v>100</v>
      </c>
      <c r="E15" s="4">
        <v>399</v>
      </c>
    </row>
    <row r="16" spans="1:5" ht="15" thickBot="1" x14ac:dyDescent="0.4">
      <c r="A16" s="3">
        <v>15</v>
      </c>
      <c r="B16" s="4">
        <v>475</v>
      </c>
      <c r="C16" s="4">
        <v>385</v>
      </c>
      <c r="D16" s="4">
        <v>90</v>
      </c>
      <c r="E16" s="4">
        <v>489</v>
      </c>
    </row>
    <row r="17" spans="1:5" ht="15" thickBot="1" x14ac:dyDescent="0.4">
      <c r="A17" s="3">
        <v>16</v>
      </c>
      <c r="B17" s="4">
        <v>500</v>
      </c>
      <c r="C17" s="4">
        <v>435</v>
      </c>
      <c r="D17" s="4">
        <v>65</v>
      </c>
      <c r="E17" s="4">
        <v>554</v>
      </c>
    </row>
    <row r="18" spans="1:5" ht="15" thickBot="1" x14ac:dyDescent="0.4">
      <c r="A18" s="3">
        <v>17</v>
      </c>
      <c r="B18" s="4">
        <v>450</v>
      </c>
      <c r="C18" s="4">
        <v>500</v>
      </c>
      <c r="D18" s="4">
        <v>-50</v>
      </c>
      <c r="E18" s="4">
        <v>504</v>
      </c>
    </row>
    <row r="19" spans="1:5" ht="15" thickBot="1" x14ac:dyDescent="0.4">
      <c r="A19" s="3">
        <v>18</v>
      </c>
      <c r="B19" s="4">
        <v>400</v>
      </c>
      <c r="C19" s="4">
        <v>450</v>
      </c>
      <c r="D19" s="4">
        <v>-50</v>
      </c>
      <c r="E19" s="4">
        <v>454</v>
      </c>
    </row>
    <row r="20" spans="1:5" ht="15" thickBot="1" x14ac:dyDescent="0.4">
      <c r="A20" s="3">
        <v>19</v>
      </c>
      <c r="B20" s="4">
        <v>450</v>
      </c>
      <c r="C20" s="4">
        <v>450</v>
      </c>
      <c r="D20" s="4">
        <v>0</v>
      </c>
      <c r="E20" s="4">
        <v>454</v>
      </c>
    </row>
    <row r="21" spans="1:5" ht="15" thickBot="1" x14ac:dyDescent="0.4">
      <c r="A21" s="3">
        <v>20</v>
      </c>
      <c r="B21" s="4">
        <v>450</v>
      </c>
      <c r="C21" s="4">
        <v>500</v>
      </c>
      <c r="D21" s="4">
        <v>-50</v>
      </c>
      <c r="E21" s="4">
        <v>404</v>
      </c>
    </row>
    <row r="22" spans="1:5" ht="15" thickBot="1" x14ac:dyDescent="0.4">
      <c r="A22" s="3">
        <v>21</v>
      </c>
      <c r="B22" s="4">
        <v>450</v>
      </c>
      <c r="C22" s="4">
        <v>450</v>
      </c>
      <c r="D22" s="4">
        <v>0</v>
      </c>
      <c r="E22" s="4">
        <v>404</v>
      </c>
    </row>
    <row r="23" spans="1:5" ht="15" thickBot="1" x14ac:dyDescent="0.4">
      <c r="A23" s="3">
        <v>22</v>
      </c>
      <c r="B23" s="4">
        <v>450</v>
      </c>
      <c r="C23" s="4">
        <v>400</v>
      </c>
      <c r="D23" s="4">
        <v>50</v>
      </c>
      <c r="E23" s="4">
        <v>454</v>
      </c>
    </row>
    <row r="24" spans="1:5" ht="15" thickBot="1" x14ac:dyDescent="0.4">
      <c r="A24" s="3">
        <v>23</v>
      </c>
      <c r="B24" s="4">
        <v>450</v>
      </c>
      <c r="C24" s="4">
        <v>400</v>
      </c>
      <c r="D24" s="4">
        <v>50</v>
      </c>
      <c r="E24" s="4">
        <v>504</v>
      </c>
    </row>
    <row r="25" spans="1:5" ht="15" thickBot="1" x14ac:dyDescent="0.4">
      <c r="A25" s="3">
        <v>24</v>
      </c>
      <c r="B25" s="4">
        <v>425</v>
      </c>
      <c r="C25" s="4">
        <v>376</v>
      </c>
      <c r="D25" s="4">
        <v>49</v>
      </c>
      <c r="E25" s="4">
        <v>553</v>
      </c>
    </row>
    <row r="26" spans="1:5" ht="15" thickBot="1" x14ac:dyDescent="0.4">
      <c r="A26" s="3">
        <v>25</v>
      </c>
      <c r="B26" s="4">
        <v>475</v>
      </c>
      <c r="C26" s="4">
        <v>405</v>
      </c>
      <c r="D26" s="4">
        <v>70</v>
      </c>
      <c r="E26" s="4">
        <v>623</v>
      </c>
    </row>
    <row r="27" spans="1:5" ht="15" thickBot="1" x14ac:dyDescent="0.4">
      <c r="A27" s="3">
        <v>26</v>
      </c>
      <c r="B27" s="4">
        <v>500</v>
      </c>
      <c r="C27" s="4">
        <v>400</v>
      </c>
      <c r="D27" s="4">
        <v>100</v>
      </c>
      <c r="E27" s="4">
        <v>723</v>
      </c>
    </row>
    <row r="28" spans="1:5" ht="15" thickBot="1" x14ac:dyDescent="0.4">
      <c r="A28" s="3">
        <v>27</v>
      </c>
      <c r="B28" s="4">
        <v>450</v>
      </c>
      <c r="C28" s="4">
        <v>400</v>
      </c>
      <c r="D28" s="4">
        <v>50</v>
      </c>
      <c r="E28" s="4">
        <v>773</v>
      </c>
    </row>
    <row r="29" spans="1:5" ht="15" thickBot="1" x14ac:dyDescent="0.4">
      <c r="A29" s="3">
        <v>28</v>
      </c>
      <c r="B29" s="4">
        <v>400</v>
      </c>
      <c r="C29" s="4">
        <v>325</v>
      </c>
      <c r="D29" s="4">
        <v>75</v>
      </c>
      <c r="E29" s="4">
        <v>848</v>
      </c>
    </row>
    <row r="30" spans="1:5" ht="15" thickBot="1" x14ac:dyDescent="0.4">
      <c r="A30" s="3">
        <v>29</v>
      </c>
      <c r="B30" s="4">
        <v>450</v>
      </c>
      <c r="C30" s="4">
        <v>600</v>
      </c>
      <c r="D30" s="4">
        <v>-150</v>
      </c>
      <c r="E30" s="4">
        <v>698</v>
      </c>
    </row>
    <row r="31" spans="1:5" ht="15" thickBot="1" x14ac:dyDescent="0.4">
      <c r="A31" s="3">
        <v>30</v>
      </c>
      <c r="B31" s="4">
        <v>450</v>
      </c>
      <c r="C31" s="4">
        <v>700</v>
      </c>
      <c r="D31" s="4">
        <v>-250</v>
      </c>
      <c r="E31" s="4">
        <v>448</v>
      </c>
    </row>
    <row r="32" spans="1:5" ht="15" thickBot="1" x14ac:dyDescent="0.4">
      <c r="A32" s="3">
        <v>31</v>
      </c>
      <c r="B32" s="4">
        <v>450</v>
      </c>
      <c r="C32" s="4">
        <v>689</v>
      </c>
      <c r="D32" s="4">
        <v>-239</v>
      </c>
      <c r="E32" s="4">
        <v>209</v>
      </c>
    </row>
    <row r="33" spans="1:5" ht="15" thickBot="1" x14ac:dyDescent="0.4">
      <c r="A33" s="3">
        <v>32</v>
      </c>
      <c r="B33" s="4">
        <v>450</v>
      </c>
      <c r="C33" s="4">
        <v>650</v>
      </c>
      <c r="D33" s="4">
        <v>-200</v>
      </c>
      <c r="E33" s="4">
        <v>9</v>
      </c>
    </row>
    <row r="34" spans="1:5" ht="15" thickBot="1" x14ac:dyDescent="0.4">
      <c r="A34" s="3">
        <v>33</v>
      </c>
      <c r="B34" s="4">
        <v>450</v>
      </c>
      <c r="C34" s="4">
        <v>400</v>
      </c>
      <c r="D34" s="4">
        <v>50</v>
      </c>
      <c r="E34" s="4">
        <v>59</v>
      </c>
    </row>
    <row r="35" spans="1:5" ht="15" thickBot="1" x14ac:dyDescent="0.4">
      <c r="A35" s="3">
        <v>34</v>
      </c>
      <c r="B35" s="4">
        <v>425</v>
      </c>
      <c r="C35" s="4">
        <v>400</v>
      </c>
      <c r="D35" s="4">
        <v>25</v>
      </c>
      <c r="E35" s="4">
        <v>84</v>
      </c>
    </row>
    <row r="36" spans="1:5" ht="15" thickBot="1" x14ac:dyDescent="0.4">
      <c r="A36" s="3">
        <v>35</v>
      </c>
      <c r="B36" s="4">
        <v>475</v>
      </c>
      <c r="C36" s="4">
        <v>450</v>
      </c>
      <c r="D36" s="4">
        <v>25</v>
      </c>
      <c r="E36" s="4">
        <v>109</v>
      </c>
    </row>
    <row r="37" spans="1:5" ht="15" thickBot="1" x14ac:dyDescent="0.4">
      <c r="A37" s="3">
        <v>36</v>
      </c>
      <c r="B37" s="4">
        <v>500</v>
      </c>
      <c r="C37" s="4">
        <v>450</v>
      </c>
      <c r="D37" s="4">
        <v>50</v>
      </c>
      <c r="E37" s="4">
        <v>159</v>
      </c>
    </row>
    <row r="38" spans="1:5" ht="15" thickBot="1" x14ac:dyDescent="0.4">
      <c r="A38" s="3">
        <v>37</v>
      </c>
      <c r="B38" s="4">
        <v>450</v>
      </c>
      <c r="C38" s="4">
        <v>500</v>
      </c>
      <c r="D38" s="4">
        <v>-50</v>
      </c>
      <c r="E38" s="4">
        <v>109</v>
      </c>
    </row>
    <row r="39" spans="1:5" ht="15" thickBot="1" x14ac:dyDescent="0.4">
      <c r="A39" s="3">
        <v>38</v>
      </c>
      <c r="B39" s="4">
        <v>400</v>
      </c>
      <c r="C39" s="4">
        <v>502</v>
      </c>
      <c r="D39" s="4">
        <v>-102</v>
      </c>
      <c r="E39" s="4">
        <v>7</v>
      </c>
    </row>
    <row r="40" spans="1:5" ht="15" thickBot="1" x14ac:dyDescent="0.4">
      <c r="A40" s="3">
        <v>39</v>
      </c>
      <c r="B40" s="4">
        <v>450</v>
      </c>
      <c r="C40" s="4">
        <v>378</v>
      </c>
      <c r="D40" s="4">
        <v>72</v>
      </c>
      <c r="E40" s="4">
        <v>79</v>
      </c>
    </row>
    <row r="41" spans="1:5" ht="15" thickBot="1" x14ac:dyDescent="0.4">
      <c r="A41" s="3">
        <v>40</v>
      </c>
      <c r="B41" s="4">
        <v>450</v>
      </c>
      <c r="C41" s="4">
        <v>525</v>
      </c>
      <c r="D41" s="4">
        <v>-75</v>
      </c>
      <c r="E41" s="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6BC4A-0679-430F-B987-802EEC4B0F0D}">
  <dimension ref="A1:E61"/>
  <sheetViews>
    <sheetView topLeftCell="B45" workbookViewId="0">
      <selection activeCell="D42" sqref="D42"/>
    </sheetView>
  </sheetViews>
  <sheetFormatPr defaultRowHeight="14.5" x14ac:dyDescent="0.35"/>
  <cols>
    <col min="1" max="1" width="9.90625" customWidth="1"/>
    <col min="3" max="3" width="9.90625" customWidth="1"/>
    <col min="4" max="4" width="23.6328125" customWidth="1"/>
    <col min="5" max="5" width="23.7265625" customWidth="1"/>
  </cols>
  <sheetData>
    <row r="1" spans="1:5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5">
      <c r="A2">
        <v>1</v>
      </c>
      <c r="B2">
        <v>385</v>
      </c>
    </row>
    <row r="3" spans="1:5" x14ac:dyDescent="0.35">
      <c r="A3">
        <v>2</v>
      </c>
      <c r="B3">
        <v>435</v>
      </c>
    </row>
    <row r="4" spans="1:5" x14ac:dyDescent="0.35">
      <c r="A4">
        <v>3</v>
      </c>
      <c r="B4">
        <v>500</v>
      </c>
    </row>
    <row r="5" spans="1:5" x14ac:dyDescent="0.35">
      <c r="A5">
        <v>4</v>
      </c>
      <c r="B5">
        <v>450</v>
      </c>
    </row>
    <row r="6" spans="1:5" x14ac:dyDescent="0.35">
      <c r="A6">
        <v>5</v>
      </c>
      <c r="B6">
        <v>450</v>
      </c>
    </row>
    <row r="7" spans="1:5" x14ac:dyDescent="0.35">
      <c r="A7">
        <v>6</v>
      </c>
      <c r="B7">
        <v>500</v>
      </c>
    </row>
    <row r="8" spans="1:5" x14ac:dyDescent="0.35">
      <c r="A8">
        <v>7</v>
      </c>
      <c r="B8">
        <v>450</v>
      </c>
    </row>
    <row r="9" spans="1:5" x14ac:dyDescent="0.35">
      <c r="A9">
        <v>8</v>
      </c>
      <c r="B9">
        <v>400</v>
      </c>
    </row>
    <row r="10" spans="1:5" x14ac:dyDescent="0.35">
      <c r="A10">
        <v>9</v>
      </c>
      <c r="B10">
        <v>400</v>
      </c>
    </row>
    <row r="11" spans="1:5" x14ac:dyDescent="0.35">
      <c r="A11">
        <v>10</v>
      </c>
      <c r="B11">
        <v>376</v>
      </c>
    </row>
    <row r="12" spans="1:5" x14ac:dyDescent="0.35">
      <c r="A12">
        <v>11</v>
      </c>
      <c r="B12">
        <v>405</v>
      </c>
    </row>
    <row r="13" spans="1:5" x14ac:dyDescent="0.35">
      <c r="A13">
        <v>12</v>
      </c>
      <c r="B13">
        <v>400</v>
      </c>
    </row>
    <row r="14" spans="1:5" x14ac:dyDescent="0.35">
      <c r="A14">
        <v>13</v>
      </c>
      <c r="B14">
        <v>400</v>
      </c>
    </row>
    <row r="15" spans="1:5" x14ac:dyDescent="0.35">
      <c r="A15">
        <v>14</v>
      </c>
      <c r="B15">
        <v>325</v>
      </c>
    </row>
    <row r="16" spans="1:5" x14ac:dyDescent="0.35">
      <c r="A16">
        <v>15</v>
      </c>
      <c r="B16">
        <v>385</v>
      </c>
    </row>
    <row r="17" spans="1:2" x14ac:dyDescent="0.35">
      <c r="A17">
        <v>16</v>
      </c>
      <c r="B17">
        <v>435</v>
      </c>
    </row>
    <row r="18" spans="1:2" x14ac:dyDescent="0.35">
      <c r="A18">
        <v>17</v>
      </c>
      <c r="B18">
        <v>500</v>
      </c>
    </row>
    <row r="19" spans="1:2" x14ac:dyDescent="0.35">
      <c r="A19">
        <v>18</v>
      </c>
      <c r="B19">
        <v>450</v>
      </c>
    </row>
    <row r="20" spans="1:2" x14ac:dyDescent="0.35">
      <c r="A20">
        <v>19</v>
      </c>
      <c r="B20">
        <v>450</v>
      </c>
    </row>
    <row r="21" spans="1:2" x14ac:dyDescent="0.35">
      <c r="A21">
        <v>20</v>
      </c>
      <c r="B21">
        <v>500</v>
      </c>
    </row>
    <row r="22" spans="1:2" x14ac:dyDescent="0.35">
      <c r="A22">
        <v>21</v>
      </c>
      <c r="B22">
        <v>450</v>
      </c>
    </row>
    <row r="23" spans="1:2" x14ac:dyDescent="0.35">
      <c r="A23">
        <v>22</v>
      </c>
      <c r="B23">
        <v>400</v>
      </c>
    </row>
    <row r="24" spans="1:2" x14ac:dyDescent="0.35">
      <c r="A24">
        <v>23</v>
      </c>
      <c r="B24">
        <v>400</v>
      </c>
    </row>
    <row r="25" spans="1:2" x14ac:dyDescent="0.35">
      <c r="A25">
        <v>24</v>
      </c>
      <c r="B25">
        <v>376</v>
      </c>
    </row>
    <row r="26" spans="1:2" x14ac:dyDescent="0.35">
      <c r="A26">
        <v>25</v>
      </c>
      <c r="B26">
        <v>405</v>
      </c>
    </row>
    <row r="27" spans="1:2" x14ac:dyDescent="0.35">
      <c r="A27">
        <v>26</v>
      </c>
      <c r="B27">
        <v>400</v>
      </c>
    </row>
    <row r="28" spans="1:2" x14ac:dyDescent="0.35">
      <c r="A28">
        <v>27</v>
      </c>
      <c r="B28">
        <v>400</v>
      </c>
    </row>
    <row r="29" spans="1:2" x14ac:dyDescent="0.35">
      <c r="A29">
        <v>28</v>
      </c>
      <c r="B29">
        <v>325</v>
      </c>
    </row>
    <row r="30" spans="1:2" x14ac:dyDescent="0.35">
      <c r="A30">
        <v>29</v>
      </c>
      <c r="B30">
        <v>600</v>
      </c>
    </row>
    <row r="31" spans="1:2" x14ac:dyDescent="0.35">
      <c r="A31">
        <v>30</v>
      </c>
      <c r="B31">
        <v>700</v>
      </c>
    </row>
    <row r="32" spans="1:2" x14ac:dyDescent="0.35">
      <c r="A32">
        <v>31</v>
      </c>
      <c r="B32">
        <v>689</v>
      </c>
    </row>
    <row r="33" spans="1:5" x14ac:dyDescent="0.35">
      <c r="A33">
        <v>32</v>
      </c>
      <c r="B33">
        <v>650</v>
      </c>
    </row>
    <row r="34" spans="1:5" x14ac:dyDescent="0.35">
      <c r="A34">
        <v>33</v>
      </c>
      <c r="B34">
        <v>400</v>
      </c>
    </row>
    <row r="35" spans="1:5" x14ac:dyDescent="0.35">
      <c r="A35">
        <v>34</v>
      </c>
      <c r="B35">
        <v>400</v>
      </c>
    </row>
    <row r="36" spans="1:5" x14ac:dyDescent="0.35">
      <c r="A36">
        <v>35</v>
      </c>
      <c r="B36">
        <v>450</v>
      </c>
    </row>
    <row r="37" spans="1:5" x14ac:dyDescent="0.35">
      <c r="A37">
        <v>36</v>
      </c>
      <c r="B37">
        <v>450</v>
      </c>
    </row>
    <row r="38" spans="1:5" x14ac:dyDescent="0.35">
      <c r="A38">
        <v>37</v>
      </c>
      <c r="B38">
        <v>500</v>
      </c>
    </row>
    <row r="39" spans="1:5" x14ac:dyDescent="0.35">
      <c r="A39">
        <v>38</v>
      </c>
      <c r="B39">
        <v>502</v>
      </c>
    </row>
    <row r="40" spans="1:5" x14ac:dyDescent="0.35">
      <c r="A40">
        <v>39</v>
      </c>
      <c r="B40">
        <v>378</v>
      </c>
    </row>
    <row r="41" spans="1:5" x14ac:dyDescent="0.35">
      <c r="A41">
        <v>40</v>
      </c>
      <c r="B41">
        <v>525</v>
      </c>
      <c r="C41">
        <v>525</v>
      </c>
      <c r="D41" s="5">
        <v>525</v>
      </c>
      <c r="E41" s="5">
        <v>525</v>
      </c>
    </row>
    <row r="42" spans="1:5" x14ac:dyDescent="0.35">
      <c r="A42">
        <v>41</v>
      </c>
      <c r="C42">
        <f t="shared" ref="C42:C61" si="0">_xlfn.FORECAST.ETS(A42,$B$2:$B$41,$A$2:$A$41,1,1)</f>
        <v>481.29697993222175</v>
      </c>
      <c r="D42" s="5">
        <f t="shared" ref="D42:D61" si="1">C42-_xlfn.FORECAST.ETS.CONFINT(A42,$B$2:$B$41,$A$2:$A$41,0.95,1,1)</f>
        <v>337.66561212271012</v>
      </c>
      <c r="E42" s="5">
        <f t="shared" ref="E42:E61" si="2">C42+_xlfn.FORECAST.ETS.CONFINT(A42,$B$2:$B$41,$A$2:$A$41,0.95,1,1)</f>
        <v>624.92834774173343</v>
      </c>
    </row>
    <row r="43" spans="1:5" x14ac:dyDescent="0.35">
      <c r="A43">
        <v>42</v>
      </c>
      <c r="C43">
        <f t="shared" si="0"/>
        <v>531.18069010374234</v>
      </c>
      <c r="D43" s="5">
        <f t="shared" si="1"/>
        <v>386.39564045413545</v>
      </c>
      <c r="E43" s="5">
        <f t="shared" si="2"/>
        <v>675.96573975334923</v>
      </c>
    </row>
    <row r="44" spans="1:5" x14ac:dyDescent="0.35">
      <c r="A44">
        <v>43</v>
      </c>
      <c r="C44">
        <f t="shared" si="0"/>
        <v>594.90672283855156</v>
      </c>
      <c r="D44" s="5">
        <f t="shared" si="1"/>
        <v>448.95908829947837</v>
      </c>
      <c r="E44" s="5">
        <f t="shared" si="2"/>
        <v>740.85435737762475</v>
      </c>
    </row>
    <row r="45" spans="1:5" x14ac:dyDescent="0.35">
      <c r="A45">
        <v>44</v>
      </c>
      <c r="C45">
        <f t="shared" si="0"/>
        <v>543.54449275159232</v>
      </c>
      <c r="D45" s="5">
        <f t="shared" si="1"/>
        <v>396.42544111209173</v>
      </c>
      <c r="E45" s="5">
        <f t="shared" si="2"/>
        <v>690.66354439109296</v>
      </c>
    </row>
    <row r="46" spans="1:5" x14ac:dyDescent="0.35">
      <c r="A46">
        <v>45</v>
      </c>
      <c r="C46">
        <f t="shared" si="0"/>
        <v>588.89452921346458</v>
      </c>
      <c r="D46" s="5">
        <f t="shared" si="1"/>
        <v>440.59529844929546</v>
      </c>
      <c r="E46" s="5">
        <f t="shared" si="2"/>
        <v>737.1937599776337</v>
      </c>
    </row>
    <row r="47" spans="1:5" x14ac:dyDescent="0.35">
      <c r="A47">
        <v>46</v>
      </c>
      <c r="C47">
        <f t="shared" si="0"/>
        <v>586.98894058946121</v>
      </c>
      <c r="D47" s="5">
        <f t="shared" si="1"/>
        <v>437.50083819564111</v>
      </c>
      <c r="E47" s="5">
        <f t="shared" si="2"/>
        <v>736.47704298328131</v>
      </c>
    </row>
    <row r="48" spans="1:5" x14ac:dyDescent="0.35">
      <c r="A48">
        <v>47</v>
      </c>
      <c r="C48">
        <f t="shared" si="0"/>
        <v>538.52532881343234</v>
      </c>
      <c r="D48" s="5">
        <f t="shared" si="1"/>
        <v>387.83973112264914</v>
      </c>
      <c r="E48" s="5">
        <f t="shared" si="2"/>
        <v>689.21092650421554</v>
      </c>
    </row>
    <row r="49" spans="1:5" x14ac:dyDescent="0.35">
      <c r="A49">
        <v>48</v>
      </c>
      <c r="C49">
        <f t="shared" si="0"/>
        <v>510.76298221411594</v>
      </c>
      <c r="D49" s="5">
        <f t="shared" si="1"/>
        <v>358.87133370257379</v>
      </c>
      <c r="E49" s="5">
        <f t="shared" si="2"/>
        <v>662.65463072565808</v>
      </c>
    </row>
    <row r="50" spans="1:5" x14ac:dyDescent="0.35">
      <c r="A50">
        <v>49</v>
      </c>
      <c r="C50">
        <f t="shared" si="0"/>
        <v>495.25320409005235</v>
      </c>
      <c r="D50" s="5">
        <f t="shared" si="1"/>
        <v>342.14701667223176</v>
      </c>
      <c r="E50" s="5">
        <f t="shared" si="2"/>
        <v>648.35939150787294</v>
      </c>
    </row>
    <row r="51" spans="1:5" x14ac:dyDescent="0.35">
      <c r="A51">
        <v>50</v>
      </c>
      <c r="C51">
        <f t="shared" si="0"/>
        <v>493.5270572227206</v>
      </c>
      <c r="D51" s="5">
        <f t="shared" si="1"/>
        <v>339.19790953645554</v>
      </c>
      <c r="E51" s="5">
        <f t="shared" si="2"/>
        <v>647.85620490898566</v>
      </c>
    </row>
    <row r="52" spans="1:5" x14ac:dyDescent="0.35">
      <c r="A52">
        <v>51</v>
      </c>
      <c r="C52">
        <f t="shared" si="0"/>
        <v>501.98282914005404</v>
      </c>
      <c r="D52" s="5">
        <f t="shared" si="1"/>
        <v>346.42236582325199</v>
      </c>
      <c r="E52" s="5">
        <f t="shared" si="2"/>
        <v>657.54329245685608</v>
      </c>
    </row>
    <row r="53" spans="1:5" x14ac:dyDescent="0.35">
      <c r="A53">
        <v>52</v>
      </c>
      <c r="C53">
        <f t="shared" si="0"/>
        <v>525.36127961870227</v>
      </c>
      <c r="D53" s="5">
        <f t="shared" si="1"/>
        <v>368.56121057896064</v>
      </c>
      <c r="E53" s="5">
        <f t="shared" si="2"/>
        <v>682.1613486584439</v>
      </c>
    </row>
    <row r="54" spans="1:5" x14ac:dyDescent="0.35">
      <c r="A54">
        <v>53</v>
      </c>
      <c r="C54">
        <f t="shared" si="0"/>
        <v>453.14578760322195</v>
      </c>
      <c r="D54" s="5">
        <f t="shared" si="1"/>
        <v>295.09788728152341</v>
      </c>
      <c r="E54" s="5">
        <f t="shared" si="2"/>
        <v>611.19368792492048</v>
      </c>
    </row>
    <row r="55" spans="1:5" x14ac:dyDescent="0.35">
      <c r="A55">
        <v>54</v>
      </c>
      <c r="C55">
        <f t="shared" si="0"/>
        <v>513.42693914614017</v>
      </c>
      <c r="D55" s="5">
        <f t="shared" si="1"/>
        <v>354.1049814486945</v>
      </c>
      <c r="E55" s="5">
        <f t="shared" si="2"/>
        <v>672.74889684358584</v>
      </c>
    </row>
    <row r="56" spans="1:5" x14ac:dyDescent="0.35">
      <c r="A56">
        <v>55</v>
      </c>
      <c r="C56">
        <f t="shared" si="0"/>
        <v>563.31064931766082</v>
      </c>
      <c r="D56" s="5">
        <f t="shared" si="1"/>
        <v>402.72474204994398</v>
      </c>
      <c r="E56" s="5">
        <f t="shared" si="2"/>
        <v>723.89655658537765</v>
      </c>
    </row>
    <row r="57" spans="1:5" x14ac:dyDescent="0.35">
      <c r="A57">
        <v>56</v>
      </c>
      <c r="C57">
        <f t="shared" si="0"/>
        <v>627.03668205247004</v>
      </c>
      <c r="D57" s="5">
        <f t="shared" si="1"/>
        <v>465.17878745673545</v>
      </c>
      <c r="E57" s="5">
        <f t="shared" si="2"/>
        <v>788.89457664820463</v>
      </c>
    </row>
    <row r="58" spans="1:5" x14ac:dyDescent="0.35">
      <c r="A58">
        <v>57</v>
      </c>
      <c r="C58">
        <f t="shared" si="0"/>
        <v>575.6744519655108</v>
      </c>
      <c r="D58" s="5">
        <f t="shared" si="1"/>
        <v>412.53659383812567</v>
      </c>
      <c r="E58" s="5">
        <f t="shared" si="2"/>
        <v>738.81231009289593</v>
      </c>
    </row>
    <row r="59" spans="1:5" x14ac:dyDescent="0.35">
      <c r="A59">
        <v>58</v>
      </c>
      <c r="C59">
        <f t="shared" si="0"/>
        <v>621.02448842738306</v>
      </c>
      <c r="D59" s="5">
        <f t="shared" si="1"/>
        <v>456.59875136892822</v>
      </c>
      <c r="E59" s="5">
        <f t="shared" si="2"/>
        <v>785.4502254858379</v>
      </c>
    </row>
    <row r="60" spans="1:5" x14ac:dyDescent="0.35">
      <c r="A60">
        <v>59</v>
      </c>
      <c r="C60">
        <f t="shared" si="0"/>
        <v>619.11889980337969</v>
      </c>
      <c r="D60" s="5">
        <f t="shared" si="1"/>
        <v>453.39742846855415</v>
      </c>
      <c r="E60" s="5">
        <f t="shared" si="2"/>
        <v>784.84037113820523</v>
      </c>
    </row>
    <row r="61" spans="1:5" x14ac:dyDescent="0.35">
      <c r="A61">
        <v>60</v>
      </c>
      <c r="C61">
        <f t="shared" si="0"/>
        <v>570.65528802735082</v>
      </c>
      <c r="D61" s="5">
        <f t="shared" si="1"/>
        <v>403.63028637544141</v>
      </c>
      <c r="E61" s="5">
        <f t="shared" si="2"/>
        <v>737.68028967926023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6F75-E350-478E-951C-322BCE24BA8C}">
  <dimension ref="A1"/>
  <sheetViews>
    <sheetView workbookViewId="0">
      <selection activeCell="Q10" sqref="Q1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3DD5-F8F9-4073-8469-A9B8C81755C1}">
  <dimension ref="A1:J15"/>
  <sheetViews>
    <sheetView tabSelected="1" workbookViewId="0">
      <selection activeCell="K8" sqref="K8"/>
    </sheetView>
  </sheetViews>
  <sheetFormatPr defaultRowHeight="14.5" x14ac:dyDescent="0.35"/>
  <cols>
    <col min="1" max="1" width="16.81640625" bestFit="1" customWidth="1"/>
    <col min="3" max="3" width="16.81640625" bestFit="1" customWidth="1"/>
    <col min="5" max="5" width="16.81640625" bestFit="1" customWidth="1"/>
    <col min="7" max="7" width="16.81640625" bestFit="1" customWidth="1"/>
    <col min="9" max="9" width="16.81640625" bestFit="1" customWidth="1"/>
  </cols>
  <sheetData>
    <row r="1" spans="1:10" x14ac:dyDescent="0.35">
      <c r="A1" s="7" t="s">
        <v>23</v>
      </c>
      <c r="B1" s="7"/>
      <c r="C1" s="7" t="s">
        <v>24</v>
      </c>
      <c r="D1" s="7"/>
      <c r="E1" s="7" t="s">
        <v>25</v>
      </c>
      <c r="F1" s="7"/>
      <c r="G1" s="7" t="s">
        <v>26</v>
      </c>
      <c r="H1" s="7"/>
      <c r="I1" s="7" t="s">
        <v>4</v>
      </c>
      <c r="J1" s="7"/>
    </row>
    <row r="3" spans="1:10" x14ac:dyDescent="0.35">
      <c r="A3" t="s">
        <v>10</v>
      </c>
      <c r="B3">
        <v>20.5</v>
      </c>
      <c r="C3" t="s">
        <v>10</v>
      </c>
      <c r="D3">
        <v>450</v>
      </c>
      <c r="E3" t="s">
        <v>10</v>
      </c>
      <c r="F3">
        <v>449.9</v>
      </c>
      <c r="G3" t="s">
        <v>10</v>
      </c>
      <c r="H3">
        <v>0.1</v>
      </c>
      <c r="I3" t="s">
        <v>10</v>
      </c>
      <c r="J3">
        <v>284.875</v>
      </c>
    </row>
    <row r="4" spans="1:10" x14ac:dyDescent="0.35">
      <c r="A4" t="s">
        <v>11</v>
      </c>
      <c r="B4">
        <v>1.8484227510682358</v>
      </c>
      <c r="C4" t="s">
        <v>11</v>
      </c>
      <c r="D4">
        <v>4.0032038451271781</v>
      </c>
      <c r="E4" t="s">
        <v>11</v>
      </c>
      <c r="F4">
        <v>13.594059788689371</v>
      </c>
      <c r="G4" t="s">
        <v>11</v>
      </c>
      <c r="H4">
        <v>13.763934664037658</v>
      </c>
      <c r="I4" t="s">
        <v>11</v>
      </c>
      <c r="J4">
        <v>39.863745296980859</v>
      </c>
    </row>
    <row r="5" spans="1:10" x14ac:dyDescent="0.35">
      <c r="A5" t="s">
        <v>12</v>
      </c>
      <c r="B5">
        <v>20.5</v>
      </c>
      <c r="C5" t="s">
        <v>12</v>
      </c>
      <c r="D5">
        <v>450</v>
      </c>
      <c r="E5" t="s">
        <v>12</v>
      </c>
      <c r="F5">
        <v>435</v>
      </c>
      <c r="G5" t="s">
        <v>12</v>
      </c>
      <c r="H5">
        <v>25</v>
      </c>
      <c r="I5" t="s">
        <v>12</v>
      </c>
      <c r="J5">
        <v>204</v>
      </c>
    </row>
    <row r="6" spans="1:10" x14ac:dyDescent="0.35">
      <c r="A6" t="s">
        <v>13</v>
      </c>
      <c r="C6" t="s">
        <v>13</v>
      </c>
      <c r="D6">
        <v>450</v>
      </c>
      <c r="E6" t="s">
        <v>13</v>
      </c>
      <c r="F6">
        <v>400</v>
      </c>
      <c r="G6" t="s">
        <v>13</v>
      </c>
      <c r="H6">
        <v>50</v>
      </c>
      <c r="I6" t="s">
        <v>13</v>
      </c>
      <c r="J6">
        <v>30</v>
      </c>
    </row>
    <row r="7" spans="1:10" x14ac:dyDescent="0.35">
      <c r="A7" t="s">
        <v>14</v>
      </c>
      <c r="B7">
        <v>11.69045194450012</v>
      </c>
      <c r="C7" t="s">
        <v>14</v>
      </c>
      <c r="D7">
        <v>25.318484177091666</v>
      </c>
      <c r="E7" t="s">
        <v>14</v>
      </c>
      <c r="F7">
        <v>85.976383161531359</v>
      </c>
      <c r="G7" t="s">
        <v>14</v>
      </c>
      <c r="H7">
        <v>87.050766208206909</v>
      </c>
      <c r="I7" t="s">
        <v>14</v>
      </c>
      <c r="J7">
        <v>252.12046240656977</v>
      </c>
    </row>
    <row r="8" spans="1:10" x14ac:dyDescent="0.35">
      <c r="A8" t="s">
        <v>15</v>
      </c>
      <c r="B8">
        <v>136.66666666666666</v>
      </c>
      <c r="C8" t="s">
        <v>15</v>
      </c>
      <c r="D8">
        <v>641.02564102564099</v>
      </c>
      <c r="E8" t="s">
        <v>15</v>
      </c>
      <c r="F8">
        <v>7391.9384615384524</v>
      </c>
      <c r="G8" t="s">
        <v>15</v>
      </c>
      <c r="H8">
        <v>7577.8358974358971</v>
      </c>
      <c r="I8" t="s">
        <v>15</v>
      </c>
      <c r="J8">
        <v>63564.727564102563</v>
      </c>
    </row>
    <row r="9" spans="1:10" x14ac:dyDescent="0.35">
      <c r="A9" t="s">
        <v>16</v>
      </c>
      <c r="B9">
        <v>-1.1999999999999997</v>
      </c>
      <c r="C9" t="s">
        <v>16</v>
      </c>
      <c r="D9">
        <v>0.62133712660028406</v>
      </c>
      <c r="E9" t="s">
        <v>16</v>
      </c>
      <c r="F9">
        <v>2.2507530766661756</v>
      </c>
      <c r="G9" t="s">
        <v>16</v>
      </c>
      <c r="H9">
        <v>1.9299084126902772</v>
      </c>
      <c r="I9" t="s">
        <v>16</v>
      </c>
      <c r="J9">
        <v>-0.90242164012170356</v>
      </c>
    </row>
    <row r="10" spans="1:10" x14ac:dyDescent="0.35">
      <c r="A10" t="s">
        <v>17</v>
      </c>
      <c r="B10">
        <v>-2.3972426982459522E-17</v>
      </c>
      <c r="C10" t="s">
        <v>17</v>
      </c>
      <c r="D10">
        <v>0</v>
      </c>
      <c r="E10" t="s">
        <v>17</v>
      </c>
      <c r="F10">
        <v>1.4799542484623016</v>
      </c>
      <c r="G10" t="s">
        <v>17</v>
      </c>
      <c r="H10">
        <v>-1.5050433615058667</v>
      </c>
      <c r="I10" t="s">
        <v>17</v>
      </c>
      <c r="J10">
        <v>0.57000418908554928</v>
      </c>
    </row>
    <row r="11" spans="1:10" x14ac:dyDescent="0.35">
      <c r="A11" t="s">
        <v>18</v>
      </c>
      <c r="B11">
        <v>39</v>
      </c>
      <c r="C11" t="s">
        <v>18</v>
      </c>
      <c r="D11">
        <v>100</v>
      </c>
      <c r="E11" t="s">
        <v>18</v>
      </c>
      <c r="F11">
        <v>375</v>
      </c>
      <c r="G11" t="s">
        <v>18</v>
      </c>
      <c r="H11">
        <v>350</v>
      </c>
      <c r="I11" t="s">
        <v>18</v>
      </c>
      <c r="J11">
        <v>844</v>
      </c>
    </row>
    <row r="12" spans="1:10" x14ac:dyDescent="0.35">
      <c r="A12" t="s">
        <v>19</v>
      </c>
      <c r="B12">
        <v>1</v>
      </c>
      <c r="C12" t="s">
        <v>19</v>
      </c>
      <c r="D12">
        <v>400</v>
      </c>
      <c r="E12" t="s">
        <v>19</v>
      </c>
      <c r="F12">
        <v>325</v>
      </c>
      <c r="G12" t="s">
        <v>19</v>
      </c>
      <c r="H12">
        <v>-250</v>
      </c>
      <c r="I12" t="s">
        <v>19</v>
      </c>
      <c r="J12">
        <v>4</v>
      </c>
    </row>
    <row r="13" spans="1:10" x14ac:dyDescent="0.35">
      <c r="A13" t="s">
        <v>20</v>
      </c>
      <c r="B13">
        <v>40</v>
      </c>
      <c r="C13" t="s">
        <v>20</v>
      </c>
      <c r="D13">
        <v>500</v>
      </c>
      <c r="E13" t="s">
        <v>20</v>
      </c>
      <c r="F13">
        <v>700</v>
      </c>
      <c r="G13" t="s">
        <v>20</v>
      </c>
      <c r="H13">
        <v>100</v>
      </c>
      <c r="I13" t="s">
        <v>20</v>
      </c>
      <c r="J13">
        <v>848</v>
      </c>
    </row>
    <row r="14" spans="1:10" x14ac:dyDescent="0.35">
      <c r="A14" t="s">
        <v>21</v>
      </c>
      <c r="B14">
        <v>820</v>
      </c>
      <c r="C14" t="s">
        <v>21</v>
      </c>
      <c r="D14">
        <v>18000</v>
      </c>
      <c r="E14" t="s">
        <v>21</v>
      </c>
      <c r="F14">
        <v>17996</v>
      </c>
      <c r="G14" t="s">
        <v>21</v>
      </c>
      <c r="H14">
        <v>4</v>
      </c>
      <c r="I14" t="s">
        <v>21</v>
      </c>
      <c r="J14">
        <v>11395</v>
      </c>
    </row>
    <row r="15" spans="1:10" ht="15" thickBot="1" x14ac:dyDescent="0.4">
      <c r="A15" s="6" t="s">
        <v>22</v>
      </c>
      <c r="B15" s="6">
        <v>40</v>
      </c>
      <c r="C15" s="6" t="s">
        <v>22</v>
      </c>
      <c r="D15" s="6">
        <v>40</v>
      </c>
      <c r="E15" s="6" t="s">
        <v>22</v>
      </c>
      <c r="F15" s="6">
        <v>40</v>
      </c>
      <c r="G15" s="6" t="s">
        <v>22</v>
      </c>
      <c r="H15" s="6">
        <v>40</v>
      </c>
      <c r="I15" s="6" t="s">
        <v>22</v>
      </c>
      <c r="J15" s="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Forecast Table</vt:lpstr>
      <vt:lpstr>Forecast Graph</vt:lpstr>
      <vt:lpstr>Statistik Deskriptif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2023-04-02T04:53:23Z</dcterms:created>
  <dcterms:modified xsi:type="dcterms:W3CDTF">2023-05-01T08:18:18Z</dcterms:modified>
</cp:coreProperties>
</file>